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ssemble.ai P2\assemble.ai\docs\"/>
    </mc:Choice>
  </mc:AlternateContent>
  <bookViews>
    <workbookView xWindow="0" yWindow="0" windowWidth="13155" windowHeight="11295"/>
  </bookViews>
  <sheets>
    <sheet name="Payment Schedule" sheetId="8" r:id="rId1"/>
  </sheets>
  <definedNames>
    <definedName name="Headers">#REF!</definedName>
    <definedName name="Headers1">#REF!</definedName>
    <definedName name="Log">#REF!</definedName>
    <definedName name="_xlnm.Print_Area" localSheetId="0">'Payment Schedule'!$A$1:$H$53</definedName>
    <definedName name="_xlnm.Print_Titles" localSheetId="0">'Payment Schedule'!$1:$7</definedName>
    <definedName name="_xlnm.Recorder">#N/A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4" i="8" l="1"/>
  <c r="E24" i="8"/>
  <c r="H23" i="8"/>
  <c r="E23" i="8"/>
  <c r="H22" i="8"/>
  <c r="E22" i="8"/>
  <c r="E12" i="8"/>
  <c r="E13" i="8"/>
  <c r="E14" i="8"/>
  <c r="E15" i="8"/>
  <c r="E16" i="8"/>
  <c r="E17" i="8"/>
  <c r="E18" i="8"/>
  <c r="E11" i="8"/>
  <c r="D25" i="8" l="1"/>
  <c r="G48" i="8" l="1"/>
  <c r="H48" i="8" s="1"/>
  <c r="G47" i="8"/>
  <c r="H47" i="8" s="1"/>
  <c r="G46" i="8"/>
  <c r="H46" i="8" s="1"/>
  <c r="G45" i="8"/>
  <c r="H45" i="8" s="1"/>
  <c r="G44" i="8"/>
  <c r="H44" i="8" s="1"/>
  <c r="G25" i="8" l="1"/>
  <c r="F19" i="8"/>
  <c r="G42" i="8"/>
  <c r="H42" i="8" s="1"/>
  <c r="H12" i="8"/>
  <c r="H14" i="8"/>
  <c r="H16" i="8"/>
  <c r="G41" i="8"/>
  <c r="D19" i="8"/>
  <c r="E19" i="8" l="1"/>
  <c r="H17" i="8"/>
  <c r="H15" i="8"/>
  <c r="H18" i="8"/>
  <c r="H13" i="8"/>
  <c r="D28" i="8"/>
  <c r="H41" i="8"/>
  <c r="G19" i="8" l="1"/>
  <c r="G28" i="8" s="1"/>
  <c r="H11" i="8"/>
  <c r="H19" i="8" l="1"/>
  <c r="F25" i="8"/>
  <c r="F28" i="8"/>
  <c r="E28" i="8" s="1"/>
  <c r="H25" i="8"/>
  <c r="H28" i="8" s="1"/>
  <c r="H31" i="8" s="1"/>
  <c r="H32" i="8" l="1"/>
  <c r="H33" i="8" s="1"/>
  <c r="G43" i="8" l="1"/>
  <c r="G49" i="8" s="1"/>
  <c r="F49" i="8"/>
  <c r="H43" i="8" l="1"/>
  <c r="H49" i="8" s="1"/>
</calcChain>
</file>

<file path=xl/sharedStrings.xml><?xml version="1.0" encoding="utf-8"?>
<sst xmlns="http://schemas.openxmlformats.org/spreadsheetml/2006/main" count="88" uniqueCount="72">
  <si>
    <t>VARIATIONS</t>
  </si>
  <si>
    <t>PROJECT</t>
  </si>
  <si>
    <t xml:space="preserve">PROGRESS CLAIM </t>
  </si>
  <si>
    <t>PROJECT ADDRESS</t>
  </si>
  <si>
    <t>CLAIMANT</t>
  </si>
  <si>
    <t>PERIOD</t>
  </si>
  <si>
    <t xml:space="preserve">Date </t>
  </si>
  <si>
    <t>INV NO</t>
  </si>
  <si>
    <t>SCOPE</t>
  </si>
  <si>
    <t>CONTRACT SUMMARY</t>
  </si>
  <si>
    <t>ORIGINAL CONTRACT SUM</t>
  </si>
  <si>
    <t>TOTAL LET ($)</t>
  </si>
  <si>
    <t>COMPLETED TO DATE</t>
  </si>
  <si>
    <t>LESS PRIOR ($)</t>
  </si>
  <si>
    <t>THIS CLAIM ($)</t>
  </si>
  <si>
    <t>(%)</t>
  </si>
  <si>
    <t>($)</t>
  </si>
  <si>
    <t>SUB TOTAL ($)</t>
  </si>
  <si>
    <t>APPROVED ($)</t>
  </si>
  <si>
    <t>ADJUSTED CONTRACT SUM</t>
  </si>
  <si>
    <t>TOTAL ($)</t>
  </si>
  <si>
    <t>TOTAL (EXC GST)</t>
  </si>
  <si>
    <t xml:space="preserve">GST ($) </t>
  </si>
  <si>
    <t>TOTAL (INC GST)</t>
  </si>
  <si>
    <t>PAYMENT LIST</t>
  </si>
  <si>
    <t>CLAIM</t>
  </si>
  <si>
    <t>INVOICE NO</t>
  </si>
  <si>
    <t>INVOICE DATE</t>
  </si>
  <si>
    <t>VALUE ($)</t>
  </si>
  <si>
    <t xml:space="preserve">VALUE ($) </t>
  </si>
  <si>
    <t>01</t>
  </si>
  <si>
    <t>02</t>
  </si>
  <si>
    <t>TOTAL</t>
  </si>
  <si>
    <t>DATE RECEIVED</t>
  </si>
  <si>
    <t xml:space="preserve">This is a payment schedule made under the Building &amp; Construction Industry Security of Payment Act 1999 (NSW) </t>
  </si>
  <si>
    <t xml:space="preserve">Ben Clifton </t>
  </si>
  <si>
    <t>MAY24</t>
  </si>
  <si>
    <t>JUN24</t>
  </si>
  <si>
    <t>MAIN CONTRACT WORKS</t>
  </si>
  <si>
    <t xml:space="preserve">9 MIRAGE ROAD, RUTHERFORD </t>
  </si>
  <si>
    <t>03</t>
  </si>
  <si>
    <t>04</t>
  </si>
  <si>
    <t>05</t>
  </si>
  <si>
    <t>06</t>
  </si>
  <si>
    <t>07</t>
  </si>
  <si>
    <t>08</t>
  </si>
  <si>
    <t>JUL24</t>
  </si>
  <si>
    <t>AUG24</t>
  </si>
  <si>
    <t>SEP24</t>
  </si>
  <si>
    <t>OCT24</t>
  </si>
  <si>
    <t>NOV24</t>
  </si>
  <si>
    <t>DEC24</t>
  </si>
  <si>
    <t>RUTHERFORD INDUSTRIAL UNITS</t>
  </si>
  <si>
    <t>Preliminaries, Overheads &amp; Margin</t>
  </si>
  <si>
    <t>Architectural</t>
  </si>
  <si>
    <t>Structural Engineer</t>
  </si>
  <si>
    <t>Traffic Engineer</t>
  </si>
  <si>
    <t>Hydraulic Engineer</t>
  </si>
  <si>
    <t>BCA Consultant / Other</t>
  </si>
  <si>
    <t>Geotechnical Engineer</t>
  </si>
  <si>
    <t>Fire Engineer</t>
  </si>
  <si>
    <t>ROGERS CONSTRUCTION GROUP (56 615 190 157)</t>
  </si>
  <si>
    <t>Superintenent Approval</t>
  </si>
  <si>
    <t>Engine Room</t>
  </si>
  <si>
    <t>2546</t>
  </si>
  <si>
    <t>2666</t>
  </si>
  <si>
    <t>2691</t>
  </si>
  <si>
    <t>INVXXXX</t>
  </si>
  <si>
    <t>V01 - Variation 1</t>
  </si>
  <si>
    <t>V02 - Variation 2</t>
  </si>
  <si>
    <t>V03 - Variation 3</t>
  </si>
  <si>
    <t>Payment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</si>
</sst>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&quot;$&quot;* #,##0.00_-;\-&quot;$&quot;* #,##0.00_-;_-&quot;$&quot;* &quot;-&quot;??_-;_-@_-"/>
    <numFmt numFmtId="164" formatCode="&quot;$&quot;#,##0"/>
    <numFmt numFmtId="165" formatCode="d/mm/yyyy;@"/>
    <numFmt numFmtId="166" formatCode="0.0%"/>
    <numFmt numFmtId="167" formatCode="_-&quot;$&quot;* #,##0_-;\-&quot;$&quot;* #,##0_-;_-&quot;$&quot;* &quot;-&quot;??_-;_-@_-"/>
  </numFmts>
  <fonts count="1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name val="Verdana"/>
      <family val="2"/>
    </font>
    <font>
      <sz val="10"/>
      <name val="Verdana"/>
      <family val="2"/>
    </font>
    <font>
      <sz val="10"/>
      <name val="Arial"/>
      <family val="2"/>
    </font>
    <font>
      <sz val="9"/>
      <name val="Arial"/>
      <family val="2"/>
    </font>
    <font>
      <sz val="2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b/>
      <i/>
      <sz val="8"/>
      <color rgb="FFFF0000"/>
      <name val="Arial"/>
      <family val="2"/>
    </font>
    <font>
      <sz val="8"/>
      <color theme="1"/>
      <name val="Calibri"/>
      <family val="2"/>
      <scheme val="minor"/>
    </font>
    <font>
      <sz val="8"/>
      <color rgb="FFC00000"/>
      <name val="Arial"/>
      <family val="2"/>
    </font>
    <font>
      <i/>
      <sz val="8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3" fillId="0" borderId="0"/>
    <xf numFmtId="9" fontId="4" fillId="0" borderId="0" applyFont="0" applyFill="0" applyBorder="0" applyAlignment="0" applyProtection="0"/>
    <xf numFmtId="0" fontId="4" fillId="0" borderId="0"/>
    <xf numFmtId="9" fontId="17" fillId="0" borderId="0" applyFont="0" applyFill="0" applyBorder="0" applyAlignment="0" applyProtection="0"/>
    <xf numFmtId="44" fontId="17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horizontal="center" vertical="center"/>
    </xf>
    <xf numFmtId="164" fontId="8" fillId="0" borderId="0" xfId="4" applyNumberFormat="1" applyFont="1" applyAlignment="1">
      <alignment horizontal="left" vertical="center"/>
    </xf>
    <xf numFmtId="164" fontId="9" fillId="0" borderId="0" xfId="4" applyNumberFormat="1" applyFont="1" applyAlignment="1">
      <alignment horizontal="left" vertical="center"/>
    </xf>
    <xf numFmtId="0" fontId="9" fillId="0" borderId="0" xfId="4" applyFont="1"/>
    <xf numFmtId="164" fontId="8" fillId="0" borderId="0" xfId="4" applyNumberFormat="1" applyFont="1" applyAlignment="1">
      <alignment horizontal="right" vertical="center"/>
    </xf>
    <xf numFmtId="165" fontId="9" fillId="0" borderId="0" xfId="4" applyNumberFormat="1" applyFont="1" applyAlignment="1">
      <alignment horizontal="right" vertical="center"/>
    </xf>
    <xf numFmtId="0" fontId="6" fillId="0" borderId="0" xfId="4" applyFont="1"/>
    <xf numFmtId="49" fontId="9" fillId="0" borderId="0" xfId="4" applyNumberFormat="1" applyFont="1" applyAlignment="1">
      <alignment horizontal="right" vertical="center" wrapText="1"/>
    </xf>
    <xf numFmtId="44" fontId="6" fillId="0" borderId="0" xfId="4" applyNumberFormat="1" applyFont="1"/>
    <xf numFmtId="0" fontId="6" fillId="3" borderId="0" xfId="4" applyFont="1" applyFill="1" applyAlignment="1">
      <alignment horizontal="right" vertical="center" wrapText="1"/>
    </xf>
    <xf numFmtId="0" fontId="6" fillId="3" borderId="0" xfId="4" applyFont="1" applyFill="1" applyAlignment="1">
      <alignment horizontal="center" vertical="center" wrapText="1"/>
    </xf>
    <xf numFmtId="44" fontId="6" fillId="0" borderId="0" xfId="4" applyNumberFormat="1" applyFont="1" applyAlignment="1">
      <alignment horizontal="right" vertical="center"/>
    </xf>
    <xf numFmtId="0" fontId="11" fillId="0" borderId="0" xfId="4" applyFont="1" applyAlignment="1">
      <alignment horizontal="left" vertical="center" wrapText="1" indent="1"/>
    </xf>
    <xf numFmtId="44" fontId="11" fillId="0" borderId="0" xfId="4" applyNumberFormat="1" applyFont="1" applyAlignment="1">
      <alignment horizontal="right" vertical="center"/>
    </xf>
    <xf numFmtId="0" fontId="12" fillId="0" borderId="0" xfId="4" applyFont="1" applyAlignment="1">
      <alignment horizontal="left" vertical="center" wrapText="1"/>
    </xf>
    <xf numFmtId="0" fontId="11" fillId="0" borderId="0" xfId="4" applyFont="1" applyAlignment="1">
      <alignment horizontal="right" vertical="center" wrapText="1"/>
    </xf>
    <xf numFmtId="49" fontId="6" fillId="0" borderId="0" xfId="4" applyNumberFormat="1" applyFont="1" applyAlignment="1">
      <alignment horizontal="right" vertical="center" wrapText="1"/>
    </xf>
    <xf numFmtId="165" fontId="6" fillId="0" borderId="0" xfId="4" applyNumberFormat="1" applyFont="1" applyAlignment="1">
      <alignment horizontal="center" vertical="center"/>
    </xf>
    <xf numFmtId="0" fontId="5" fillId="0" borderId="0" xfId="4" applyFont="1" applyAlignment="1">
      <alignment horizontal="right" vertical="center"/>
    </xf>
    <xf numFmtId="164" fontId="6" fillId="0" borderId="0" xfId="4" applyNumberFormat="1" applyFont="1" applyAlignment="1">
      <alignment horizontal="right" vertical="center"/>
    </xf>
    <xf numFmtId="0" fontId="5" fillId="0" borderId="0" xfId="4" applyFont="1"/>
    <xf numFmtId="0" fontId="6" fillId="0" borderId="0" xfId="4" applyFont="1" applyAlignment="1">
      <alignment horizontal="right" vertical="center"/>
    </xf>
    <xf numFmtId="0" fontId="6" fillId="0" borderId="2" xfId="4" applyFont="1" applyBorder="1" applyAlignment="1">
      <alignment horizontal="left" vertical="center"/>
    </xf>
    <xf numFmtId="0" fontId="6" fillId="0" borderId="2" xfId="4" applyFont="1" applyBorder="1" applyAlignment="1">
      <alignment horizontal="left"/>
    </xf>
    <xf numFmtId="0" fontId="6" fillId="0" borderId="2" xfId="4" applyFont="1" applyBorder="1" applyAlignment="1">
      <alignment horizontal="right"/>
    </xf>
    <xf numFmtId="165" fontId="6" fillId="0" borderId="2" xfId="4" applyNumberFormat="1" applyFont="1" applyBorder="1" applyAlignment="1">
      <alignment horizontal="center"/>
    </xf>
    <xf numFmtId="0" fontId="6" fillId="0" borderId="0" xfId="4" applyFont="1" applyAlignment="1">
      <alignment horizontal="left" vertical="center"/>
    </xf>
    <xf numFmtId="0" fontId="6" fillId="0" borderId="0" xfId="4" applyFont="1" applyAlignment="1">
      <alignment horizontal="center" vertical="center"/>
    </xf>
    <xf numFmtId="0" fontId="6" fillId="0" borderId="0" xfId="4" applyFont="1" applyAlignment="1">
      <alignment horizontal="center" vertical="top"/>
    </xf>
    <xf numFmtId="164" fontId="13" fillId="0" borderId="0" xfId="4" applyNumberFormat="1" applyFont="1" applyAlignment="1">
      <alignment horizontal="left" vertical="center"/>
    </xf>
    <xf numFmtId="0" fontId="11" fillId="0" borderId="0" xfId="4" applyFont="1" applyAlignment="1">
      <alignment horizontal="right" vertical="center"/>
    </xf>
    <xf numFmtId="0" fontId="5" fillId="0" borderId="2" xfId="4" applyFont="1" applyBorder="1"/>
    <xf numFmtId="0" fontId="7" fillId="0" borderId="0" xfId="4" applyFont="1" applyAlignment="1">
      <alignment horizontal="left" vertical="center" wrapText="1"/>
    </xf>
    <xf numFmtId="44" fontId="9" fillId="0" borderId="0" xfId="4" applyNumberFormat="1" applyFont="1" applyAlignment="1">
      <alignment horizontal="right" vertical="center"/>
    </xf>
    <xf numFmtId="0" fontId="14" fillId="0" borderId="0" xfId="0" applyFont="1"/>
    <xf numFmtId="44" fontId="8" fillId="0" borderId="0" xfId="4" applyNumberFormat="1" applyFont="1" applyAlignment="1">
      <alignment horizontal="right" vertical="center"/>
    </xf>
    <xf numFmtId="44" fontId="8" fillId="2" borderId="0" xfId="4" applyNumberFormat="1" applyFont="1" applyFill="1" applyAlignment="1">
      <alignment horizontal="right" vertical="center"/>
    </xf>
    <xf numFmtId="0" fontId="9" fillId="0" borderId="1" xfId="4" applyFont="1" applyBorder="1"/>
    <xf numFmtId="44" fontId="15" fillId="0" borderId="0" xfId="4" applyNumberFormat="1" applyFont="1" applyAlignment="1">
      <alignment horizontal="right" vertical="center"/>
    </xf>
    <xf numFmtId="9" fontId="15" fillId="0" borderId="0" xfId="3" applyFont="1" applyFill="1" applyBorder="1" applyAlignment="1">
      <alignment horizontal="center" vertical="center"/>
    </xf>
    <xf numFmtId="0" fontId="15" fillId="0" borderId="0" xfId="4" applyFont="1"/>
    <xf numFmtId="0" fontId="8" fillId="0" borderId="0" xfId="4" applyFont="1"/>
    <xf numFmtId="0" fontId="16" fillId="0" borderId="0" xfId="4" applyFont="1" applyAlignment="1">
      <alignment horizontal="left" vertical="center" wrapText="1"/>
    </xf>
    <xf numFmtId="0" fontId="8" fillId="0" borderId="0" xfId="4" applyFont="1" applyAlignment="1">
      <alignment horizontal="right" vertical="center" wrapText="1"/>
    </xf>
    <xf numFmtId="0" fontId="8" fillId="0" borderId="0" xfId="4" applyFont="1" applyAlignment="1">
      <alignment horizontal="right" vertical="center"/>
    </xf>
    <xf numFmtId="166" fontId="9" fillId="0" borderId="0" xfId="3" applyNumberFormat="1" applyFont="1" applyFill="1" applyBorder="1" applyAlignment="1">
      <alignment horizontal="center" vertical="center"/>
    </xf>
    <xf numFmtId="0" fontId="9" fillId="0" borderId="0" xfId="4" applyFont="1" applyAlignment="1">
      <alignment vertical="center" wrapText="1"/>
    </xf>
    <xf numFmtId="0" fontId="14" fillId="0" borderId="0" xfId="0" applyFont="1" applyAlignment="1">
      <alignment horizontal="center" vertical="center"/>
    </xf>
    <xf numFmtId="49" fontId="9" fillId="2" borderId="0" xfId="4" applyNumberFormat="1" applyFont="1" applyFill="1" applyAlignment="1">
      <alignment horizontal="right" vertical="center" wrapText="1"/>
    </xf>
    <xf numFmtId="167" fontId="9" fillId="0" borderId="0" xfId="4" applyNumberFormat="1" applyFont="1" applyAlignment="1">
      <alignment horizontal="right" vertical="center"/>
    </xf>
    <xf numFmtId="167" fontId="8" fillId="2" borderId="0" xfId="4" applyNumberFormat="1" applyFont="1" applyFill="1" applyAlignment="1">
      <alignment horizontal="right" vertical="center"/>
    </xf>
    <xf numFmtId="44" fontId="8" fillId="4" borderId="0" xfId="4" applyNumberFormat="1" applyFont="1" applyFill="1" applyAlignment="1">
      <alignment horizontal="right" vertical="center"/>
    </xf>
    <xf numFmtId="166" fontId="8" fillId="4" borderId="0" xfId="3" applyNumberFormat="1" applyFont="1" applyFill="1" applyBorder="1" applyAlignment="1">
      <alignment horizontal="center" vertical="center"/>
    </xf>
    <xf numFmtId="49" fontId="6" fillId="0" borderId="0" xfId="4" applyNumberFormat="1" applyFont="1" applyAlignment="1">
      <alignment horizontal="center" vertical="center" wrapText="1"/>
    </xf>
    <xf numFmtId="10" fontId="8" fillId="2" borderId="0" xfId="5" applyNumberFormat="1" applyFont="1" applyFill="1" applyAlignment="1">
      <alignment horizontal="center" vertical="center"/>
    </xf>
    <xf numFmtId="44" fontId="6" fillId="0" borderId="0" xfId="6" applyFont="1"/>
    <xf numFmtId="166" fontId="8" fillId="0" borderId="0" xfId="5" applyNumberFormat="1" applyFont="1" applyAlignment="1">
      <alignment horizontal="right" vertical="center"/>
    </xf>
    <xf numFmtId="0" fontId="6" fillId="3" borderId="0" xfId="4" applyFont="1" applyFill="1" applyAlignment="1">
      <alignment horizontal="center" vertical="center" wrapText="1"/>
    </xf>
    <xf numFmtId="0" fontId="6" fillId="3" borderId="0" xfId="4" applyFont="1" applyFill="1" applyAlignment="1">
      <alignment horizontal="left" vertical="center" wrapText="1" indent="1"/>
    </xf>
    <xf numFmtId="0" fontId="6" fillId="3" borderId="0" xfId="4" applyFont="1" applyFill="1" applyAlignment="1">
      <alignment horizontal="right" vertical="center" wrapText="1"/>
    </xf>
    <xf numFmtId="0" fontId="7" fillId="0" borderId="0" xfId="4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4" fontId="9" fillId="0" borderId="0" xfId="0" applyNumberFormat="1" applyFont="1" applyAlignment="1">
      <alignment horizontal="left" vertical="center"/>
    </xf>
    <xf numFmtId="164" fontId="9" fillId="0" borderId="0" xfId="4" applyNumberFormat="1" applyFont="1" applyAlignment="1">
      <alignment horizontal="left" vertical="center"/>
    </xf>
    <xf numFmtId="0" fontId="0" fillId="0" borderId="0" xfId="0"/>
    <xf numFmtId="0" fontId="10" fillId="0" borderId="0" xfId="4" applyFont="1" applyAlignment="1">
      <alignment horizontal="left" vertical="center" wrapText="1"/>
    </xf>
    <xf numFmtId="0" fontId="8" fillId="2" borderId="0" xfId="4" applyFont="1" applyFill="1" applyAlignment="1">
      <alignment horizontal="left" vertical="center" wrapText="1" indent="1"/>
    </xf>
    <xf numFmtId="0" fontId="8" fillId="4" borderId="0" xfId="4" applyFont="1" applyFill="1" applyAlignment="1">
      <alignment horizontal="left" vertical="center" wrapText="1" indent="1"/>
    </xf>
    <xf numFmtId="0" fontId="9" fillId="0" borderId="0" xfId="4" applyFont="1" applyAlignment="1">
      <alignment horizontal="left" vertical="center" wrapText="1" indent="1"/>
    </xf>
    <xf numFmtId="0" fontId="14" fillId="0" borderId="0" xfId="0" applyFont="1" applyAlignment="1">
      <alignment horizontal="left" vertical="center" wrapText="1" indent="1"/>
    </xf>
    <xf numFmtId="0" fontId="15" fillId="0" borderId="0" xfId="4" applyFont="1" applyAlignment="1">
      <alignment horizontal="left" vertical="center" wrapText="1" indent="1"/>
    </xf>
    <xf numFmtId="0" fontId="8" fillId="0" borderId="0" xfId="4" applyFont="1" applyAlignment="1">
      <alignment horizontal="left" vertical="center" wrapText="1" indent="1"/>
    </xf>
    <xf numFmtId="0" fontId="11" fillId="0" borderId="0" xfId="4" applyFont="1" applyAlignment="1">
      <alignment horizontal="left" vertical="center" wrapText="1"/>
    </xf>
  </cellXfs>
  <cellStyles count="7">
    <cellStyle name="Currency" xfId="6" builtinId="4"/>
    <cellStyle name="Normal" xfId="0" builtinId="0"/>
    <cellStyle name="Normal 2" xfId="1"/>
    <cellStyle name="Normal 3" xfId="2"/>
    <cellStyle name="Normal 4" xfId="4"/>
    <cellStyle name="Percent" xfId="5" builtinId="5"/>
    <cellStyle name="Percent 2" xfId="3"/>
  </cellStyles>
  <dxfs count="0"/>
  <tableStyles count="0" defaultTableStyle="TableStyleMedium2" defaultPivotStyle="PivotStyleLight16"/>
  <colors>
    <mruColors>
      <color rgb="FFCCFFFF"/>
      <color rgb="FFFFFFCC"/>
      <color rgb="FFFFFF99"/>
      <color rgb="FFDFA91C"/>
      <color rgb="FFE4E6E9"/>
      <color rgb="FF0F243E"/>
      <color rgb="FFFF7C80"/>
      <color rgb="FFFF5050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186359</xdr:colOff>
      <xdr:row>32</xdr:row>
      <xdr:rowOff>17721</xdr:rowOff>
    </xdr:from>
    <xdr:to>
      <xdr:col>1</xdr:col>
      <xdr:colOff>1273175</xdr:colOff>
      <xdr:row>34</xdr:row>
      <xdr:rowOff>186147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7C049D-F4FF-4AAB-ACD4-ADA1C1F8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6384" y="12724071"/>
          <a:ext cx="1080466" cy="4922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ERVM Spreadsheet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4"/>
  <sheetViews>
    <sheetView tabSelected="1" zoomScaleNormal="100" zoomScaleSheetLayoutView="100" workbookViewId="0">
      <selection activeCell="F10" sqref="F10"/>
    </sheetView>
  </sheetViews>
  <sheetFormatPr defaultRowHeight="15" x14ac:dyDescent="0.25"/>
  <cols>
    <col min="1" max="1" width="3" style="1" customWidth="1"/>
    <col min="2" max="2" width="29.7109375" customWidth="1"/>
    <col min="3" max="3" width="7.42578125" customWidth="1"/>
    <col min="4" max="4" width="20.42578125" customWidth="1"/>
    <col min="5" max="5" width="10.42578125" customWidth="1"/>
    <col min="6" max="8" width="14.140625" customWidth="1"/>
  </cols>
  <sheetData>
    <row r="1" spans="1:8" ht="27" x14ac:dyDescent="0.25">
      <c r="B1" s="61" t="s">
        <v>71</v>
      </c>
      <c r="C1" s="62"/>
      <c r="D1" s="62"/>
      <c r="E1" s="62"/>
      <c r="F1" s="62"/>
      <c r="G1" s="62"/>
      <c r="H1" s="33"/>
    </row>
    <row r="2" spans="1:8" x14ac:dyDescent="0.25">
      <c r="B2" s="32"/>
      <c r="C2" s="32"/>
      <c r="D2" s="32"/>
      <c r="E2" s="32"/>
      <c r="F2" s="32"/>
      <c r="G2" s="32"/>
      <c r="H2" s="32"/>
    </row>
    <row r="3" spans="1:8" x14ac:dyDescent="0.25">
      <c r="B3" s="2" t="s">
        <v>1</v>
      </c>
      <c r="C3" s="63" t="s">
        <v>52</v>
      </c>
      <c r="D3" s="63"/>
      <c r="E3" s="63"/>
      <c r="F3" s="4"/>
      <c r="G3" s="5" t="s">
        <v>2</v>
      </c>
      <c r="H3" s="49" t="s">
        <v>41</v>
      </c>
    </row>
    <row r="4" spans="1:8" x14ac:dyDescent="0.25">
      <c r="B4" s="2" t="s">
        <v>3</v>
      </c>
      <c r="C4" s="64" t="s">
        <v>39</v>
      </c>
      <c r="D4" s="64"/>
      <c r="E4" s="64"/>
      <c r="F4" s="65"/>
      <c r="G4" s="5" t="s">
        <v>7</v>
      </c>
      <c r="H4" s="8" t="s">
        <v>67</v>
      </c>
    </row>
    <row r="5" spans="1:8" x14ac:dyDescent="0.25">
      <c r="B5" s="2" t="s">
        <v>4</v>
      </c>
      <c r="C5" s="63" t="s">
        <v>61</v>
      </c>
      <c r="D5" s="63"/>
      <c r="E5" s="63"/>
      <c r="F5" s="63"/>
      <c r="G5" s="5" t="s">
        <v>33</v>
      </c>
      <c r="H5" s="6">
        <v>45533</v>
      </c>
    </row>
    <row r="6" spans="1:8" x14ac:dyDescent="0.25">
      <c r="B6" s="2" t="s">
        <v>8</v>
      </c>
      <c r="C6" s="64" t="s">
        <v>38</v>
      </c>
      <c r="D6" s="64"/>
      <c r="E6" s="64"/>
      <c r="F6" s="7"/>
      <c r="G6" s="5" t="s">
        <v>5</v>
      </c>
      <c r="H6" s="8" t="s">
        <v>47</v>
      </c>
    </row>
    <row r="7" spans="1:8" x14ac:dyDescent="0.25">
      <c r="B7" s="30" t="s">
        <v>34</v>
      </c>
      <c r="C7" s="3"/>
      <c r="D7" s="3"/>
      <c r="E7" s="3"/>
      <c r="F7" s="7"/>
      <c r="G7" s="5"/>
      <c r="H7" s="8"/>
    </row>
    <row r="8" spans="1:8" ht="23.25" x14ac:dyDescent="0.25">
      <c r="B8" s="66" t="s">
        <v>9</v>
      </c>
      <c r="C8" s="66"/>
      <c r="D8" s="66"/>
      <c r="E8" s="66"/>
      <c r="F8" s="7"/>
      <c r="G8" s="7"/>
      <c r="H8" s="9"/>
    </row>
    <row r="9" spans="1:8" x14ac:dyDescent="0.25">
      <c r="B9" s="59" t="s">
        <v>10</v>
      </c>
      <c r="C9" s="59"/>
      <c r="D9" s="60" t="s">
        <v>11</v>
      </c>
      <c r="E9" s="58" t="s">
        <v>12</v>
      </c>
      <c r="F9" s="58"/>
      <c r="G9" s="58" t="s">
        <v>13</v>
      </c>
      <c r="H9" s="58" t="s">
        <v>14</v>
      </c>
    </row>
    <row r="10" spans="1:8" x14ac:dyDescent="0.25">
      <c r="B10" s="59"/>
      <c r="C10" s="59"/>
      <c r="D10" s="60"/>
      <c r="E10" s="11" t="s">
        <v>15</v>
      </c>
      <c r="F10" s="11" t="s">
        <v>16</v>
      </c>
      <c r="G10" s="58"/>
      <c r="H10" s="58"/>
    </row>
    <row r="11" spans="1:8" s="35" customFormat="1" ht="11.25" x14ac:dyDescent="0.2">
      <c r="A11" s="48">
        <v>1</v>
      </c>
      <c r="B11" s="47" t="s">
        <v>53</v>
      </c>
      <c r="C11" s="47"/>
      <c r="D11" s="50">
        <v>5000</v>
      </c>
      <c r="E11" s="46">
        <f>F11/D11</f>
        <v>1</v>
      </c>
      <c r="F11" s="50">
        <v>5000</v>
      </c>
      <c r="G11" s="50">
        <v>5000</v>
      </c>
      <c r="H11" s="34">
        <f t="shared" ref="H11" si="0">F11-G11</f>
        <v>0</v>
      </c>
    </row>
    <row r="12" spans="1:8" s="35" customFormat="1" ht="11.25" x14ac:dyDescent="0.2">
      <c r="A12" s="48">
        <v>2</v>
      </c>
      <c r="B12" s="47" t="s">
        <v>54</v>
      </c>
      <c r="C12" s="47"/>
      <c r="D12" s="50">
        <v>5000</v>
      </c>
      <c r="E12" s="46">
        <f t="shared" ref="E12:E18" si="1">F12/D12</f>
        <v>1</v>
      </c>
      <c r="F12" s="50">
        <v>5000</v>
      </c>
      <c r="G12" s="50">
        <v>5000</v>
      </c>
      <c r="H12" s="34">
        <f t="shared" ref="H12:H18" si="2">F12-G12</f>
        <v>0</v>
      </c>
    </row>
    <row r="13" spans="1:8" s="35" customFormat="1" ht="11.25" x14ac:dyDescent="0.2">
      <c r="A13" s="48">
        <v>3</v>
      </c>
      <c r="B13" s="47" t="s">
        <v>55</v>
      </c>
      <c r="C13" s="47"/>
      <c r="D13" s="50">
        <v>5000</v>
      </c>
      <c r="E13" s="46">
        <f t="shared" si="1"/>
        <v>1</v>
      </c>
      <c r="F13" s="50">
        <v>5000</v>
      </c>
      <c r="G13" s="50">
        <v>5000</v>
      </c>
      <c r="H13" s="34">
        <f t="shared" si="2"/>
        <v>0</v>
      </c>
    </row>
    <row r="14" spans="1:8" s="35" customFormat="1" ht="11.25" x14ac:dyDescent="0.2">
      <c r="A14" s="48">
        <v>4</v>
      </c>
      <c r="B14" s="47" t="s">
        <v>56</v>
      </c>
      <c r="C14" s="47"/>
      <c r="D14" s="50">
        <v>5000</v>
      </c>
      <c r="E14" s="46">
        <f t="shared" si="1"/>
        <v>1</v>
      </c>
      <c r="F14" s="50">
        <v>5000</v>
      </c>
      <c r="G14" s="50">
        <v>5000</v>
      </c>
      <c r="H14" s="34">
        <f t="shared" si="2"/>
        <v>0</v>
      </c>
    </row>
    <row r="15" spans="1:8" s="35" customFormat="1" ht="11.25" x14ac:dyDescent="0.2">
      <c r="A15" s="48">
        <v>5</v>
      </c>
      <c r="B15" s="47" t="s">
        <v>57</v>
      </c>
      <c r="C15" s="47"/>
      <c r="D15" s="50">
        <v>5000</v>
      </c>
      <c r="E15" s="46">
        <f t="shared" si="1"/>
        <v>1</v>
      </c>
      <c r="F15" s="50">
        <v>5000</v>
      </c>
      <c r="G15" s="50">
        <v>5000</v>
      </c>
      <c r="H15" s="34">
        <f t="shared" si="2"/>
        <v>0</v>
      </c>
    </row>
    <row r="16" spans="1:8" s="35" customFormat="1" ht="11.25" x14ac:dyDescent="0.2">
      <c r="A16" s="48">
        <v>6</v>
      </c>
      <c r="B16" s="47" t="s">
        <v>58</v>
      </c>
      <c r="C16" s="47"/>
      <c r="D16" s="50">
        <v>5000</v>
      </c>
      <c r="E16" s="46">
        <f t="shared" si="1"/>
        <v>0.6</v>
      </c>
      <c r="F16" s="50">
        <v>3000</v>
      </c>
      <c r="G16" s="50">
        <v>0</v>
      </c>
      <c r="H16" s="34">
        <f t="shared" si="2"/>
        <v>3000</v>
      </c>
    </row>
    <row r="17" spans="1:8" s="35" customFormat="1" ht="11.25" x14ac:dyDescent="0.2">
      <c r="A17" s="48">
        <v>7</v>
      </c>
      <c r="B17" s="47" t="s">
        <v>59</v>
      </c>
      <c r="C17" s="47"/>
      <c r="D17" s="50">
        <v>5000</v>
      </c>
      <c r="E17" s="46">
        <f t="shared" si="1"/>
        <v>0.6</v>
      </c>
      <c r="F17" s="50">
        <v>3000</v>
      </c>
      <c r="G17" s="50">
        <v>0</v>
      </c>
      <c r="H17" s="34">
        <f t="shared" si="2"/>
        <v>3000</v>
      </c>
    </row>
    <row r="18" spans="1:8" s="35" customFormat="1" ht="11.25" x14ac:dyDescent="0.2">
      <c r="A18" s="48">
        <v>8</v>
      </c>
      <c r="B18" s="47" t="s">
        <v>60</v>
      </c>
      <c r="C18" s="47"/>
      <c r="D18" s="50">
        <v>5000</v>
      </c>
      <c r="E18" s="46">
        <f t="shared" si="1"/>
        <v>0.6</v>
      </c>
      <c r="F18" s="50">
        <v>3000</v>
      </c>
      <c r="G18" s="50">
        <v>0</v>
      </c>
      <c r="H18" s="34">
        <f t="shared" si="2"/>
        <v>3000</v>
      </c>
    </row>
    <row r="19" spans="1:8" s="35" customFormat="1" ht="16.5" customHeight="1" x14ac:dyDescent="0.2">
      <c r="A19" s="48"/>
      <c r="B19" s="67" t="s">
        <v>17</v>
      </c>
      <c r="C19" s="67"/>
      <c r="D19" s="51">
        <f>SUM(D11:D18)</f>
        <v>40000</v>
      </c>
      <c r="E19" s="55">
        <f>F19/D19</f>
        <v>0.85</v>
      </c>
      <c r="F19" s="37">
        <f>SUM(F11:F18)</f>
        <v>34000</v>
      </c>
      <c r="G19" s="37">
        <f>SUM(G11:G18)</f>
        <v>25000</v>
      </c>
      <c r="H19" s="37">
        <f>SUM(H11:H18)</f>
        <v>9000</v>
      </c>
    </row>
    <row r="20" spans="1:8" x14ac:dyDescent="0.25">
      <c r="A20" s="48"/>
      <c r="B20" s="59" t="s">
        <v>0</v>
      </c>
      <c r="C20" s="59"/>
      <c r="D20" s="60" t="s">
        <v>18</v>
      </c>
      <c r="E20" s="58" t="s">
        <v>12</v>
      </c>
      <c r="F20" s="58"/>
      <c r="G20" s="58" t="s">
        <v>13</v>
      </c>
      <c r="H20" s="58" t="s">
        <v>14</v>
      </c>
    </row>
    <row r="21" spans="1:8" x14ac:dyDescent="0.25">
      <c r="A21" s="48"/>
      <c r="B21" s="59"/>
      <c r="C21" s="59"/>
      <c r="D21" s="60"/>
      <c r="E21" s="11" t="s">
        <v>15</v>
      </c>
      <c r="F21" s="11" t="s">
        <v>16</v>
      </c>
      <c r="G21" s="58"/>
      <c r="H21" s="58"/>
    </row>
    <row r="22" spans="1:8" s="35" customFormat="1" ht="11.25" x14ac:dyDescent="0.2">
      <c r="A22" s="48"/>
      <c r="B22" s="69" t="s">
        <v>68</v>
      </c>
      <c r="C22" s="70"/>
      <c r="D22" s="50">
        <v>1000</v>
      </c>
      <c r="E22" s="46">
        <f t="shared" ref="E22:E24" si="3">F22/D22</f>
        <v>1</v>
      </c>
      <c r="F22" s="50">
        <v>1000</v>
      </c>
      <c r="G22" s="50">
        <v>1000</v>
      </c>
      <c r="H22" s="34">
        <f t="shared" ref="H22:H24" si="4">F22-G22</f>
        <v>0</v>
      </c>
    </row>
    <row r="23" spans="1:8" s="35" customFormat="1" ht="15" customHeight="1" x14ac:dyDescent="0.2">
      <c r="A23" s="48"/>
      <c r="B23" s="69" t="s">
        <v>69</v>
      </c>
      <c r="C23" s="70"/>
      <c r="D23" s="50">
        <v>500</v>
      </c>
      <c r="E23" s="46">
        <f t="shared" si="3"/>
        <v>1</v>
      </c>
      <c r="F23" s="50">
        <v>500</v>
      </c>
      <c r="G23" s="50">
        <v>500</v>
      </c>
      <c r="H23" s="34">
        <f t="shared" si="4"/>
        <v>0</v>
      </c>
    </row>
    <row r="24" spans="1:8" s="35" customFormat="1" ht="11.25" x14ac:dyDescent="0.2">
      <c r="A24" s="48"/>
      <c r="B24" s="69" t="s">
        <v>70</v>
      </c>
      <c r="C24" s="70"/>
      <c r="D24" s="50">
        <v>500</v>
      </c>
      <c r="E24" s="46">
        <f t="shared" si="3"/>
        <v>1</v>
      </c>
      <c r="F24" s="50">
        <v>500</v>
      </c>
      <c r="G24" s="50">
        <v>500</v>
      </c>
      <c r="H24" s="34">
        <f t="shared" si="4"/>
        <v>0</v>
      </c>
    </row>
    <row r="25" spans="1:8" s="35" customFormat="1" ht="16.5" customHeight="1" x14ac:dyDescent="0.2">
      <c r="A25" s="48"/>
      <c r="B25" s="67" t="s">
        <v>17</v>
      </c>
      <c r="C25" s="67"/>
      <c r="D25" s="37">
        <f>SUM(D22:D24)</f>
        <v>2000</v>
      </c>
      <c r="E25" s="37"/>
      <c r="F25" s="37">
        <f>SUM(F22:F24)</f>
        <v>2000</v>
      </c>
      <c r="G25" s="37">
        <f>SUM(G22:G24)</f>
        <v>2000</v>
      </c>
      <c r="H25" s="37">
        <f>SUM(H22:H24)</f>
        <v>0</v>
      </c>
    </row>
    <row r="26" spans="1:8" x14ac:dyDescent="0.25">
      <c r="A26" s="48"/>
      <c r="B26" s="59" t="s">
        <v>19</v>
      </c>
      <c r="C26" s="59"/>
      <c r="D26" s="60" t="s">
        <v>20</v>
      </c>
      <c r="E26" s="60" t="s">
        <v>12</v>
      </c>
      <c r="F26" s="60"/>
      <c r="G26" s="58" t="s">
        <v>13</v>
      </c>
      <c r="H26" s="58" t="s">
        <v>14</v>
      </c>
    </row>
    <row r="27" spans="1:8" x14ac:dyDescent="0.25">
      <c r="A27" s="48"/>
      <c r="B27" s="59"/>
      <c r="C27" s="59"/>
      <c r="D27" s="60"/>
      <c r="E27" s="11" t="s">
        <v>15</v>
      </c>
      <c r="F27" s="11" t="s">
        <v>16</v>
      </c>
      <c r="G27" s="58"/>
      <c r="H27" s="58"/>
    </row>
    <row r="28" spans="1:8" s="35" customFormat="1" ht="16.5" customHeight="1" x14ac:dyDescent="0.2">
      <c r="A28" s="48"/>
      <c r="B28" s="68" t="s">
        <v>21</v>
      </c>
      <c r="C28" s="68"/>
      <c r="D28" s="52">
        <f>SUM(D19,D25)</f>
        <v>42000</v>
      </c>
      <c r="E28" s="53">
        <f>F28/D28</f>
        <v>0.8571428571428571</v>
      </c>
      <c r="F28" s="52">
        <f>SUM(F19,F25)</f>
        <v>36000</v>
      </c>
      <c r="G28" s="52">
        <f>SUM(G19,G25)</f>
        <v>27000</v>
      </c>
      <c r="H28" s="52">
        <f>SUM(H19,H25)</f>
        <v>9000</v>
      </c>
    </row>
    <row r="29" spans="1:8" s="35" customFormat="1" ht="11.25" x14ac:dyDescent="0.2">
      <c r="A29" s="48"/>
      <c r="B29" s="38"/>
      <c r="C29" s="38"/>
      <c r="D29" s="38"/>
      <c r="E29" s="38"/>
      <c r="F29" s="38"/>
      <c r="G29" s="38"/>
      <c r="H29" s="38"/>
    </row>
    <row r="30" spans="1:8" s="35" customFormat="1" ht="11.25" x14ac:dyDescent="0.2">
      <c r="A30" s="48"/>
      <c r="B30" s="71"/>
      <c r="C30" s="71"/>
      <c r="D30" s="39"/>
      <c r="E30" s="40"/>
      <c r="F30" s="39"/>
      <c r="G30" s="41"/>
      <c r="H30" s="39"/>
    </row>
    <row r="31" spans="1:8" s="35" customFormat="1" ht="11.25" x14ac:dyDescent="0.2">
      <c r="A31" s="48"/>
      <c r="B31" s="72"/>
      <c r="C31" s="72"/>
      <c r="D31" s="57"/>
      <c r="E31" s="42"/>
      <c r="F31" s="52"/>
      <c r="G31" s="52" t="s">
        <v>21</v>
      </c>
      <c r="H31" s="52">
        <f>H28+H30</f>
        <v>9000</v>
      </c>
    </row>
    <row r="32" spans="1:8" s="35" customFormat="1" ht="12" x14ac:dyDescent="0.2">
      <c r="A32" s="48"/>
      <c r="B32" s="73" t="s">
        <v>62</v>
      </c>
      <c r="C32" s="73"/>
      <c r="D32" s="43"/>
      <c r="E32" s="43"/>
      <c r="F32" s="44"/>
      <c r="G32" s="44" t="s">
        <v>22</v>
      </c>
      <c r="H32" s="36">
        <f>H31*0.1</f>
        <v>900</v>
      </c>
    </row>
    <row r="33" spans="1:8" s="35" customFormat="1" ht="11.25" x14ac:dyDescent="0.2">
      <c r="A33" s="48"/>
      <c r="D33" s="43"/>
      <c r="E33" s="43"/>
      <c r="F33" s="44"/>
      <c r="G33" s="45" t="s">
        <v>23</v>
      </c>
      <c r="H33" s="36">
        <f>SUM(H31:H32)</f>
        <v>9900</v>
      </c>
    </row>
    <row r="34" spans="1:8" x14ac:dyDescent="0.25">
      <c r="D34" s="22"/>
      <c r="E34" s="7"/>
      <c r="F34" s="16"/>
      <c r="G34" s="31"/>
      <c r="H34" s="14"/>
    </row>
    <row r="35" spans="1:8" x14ac:dyDescent="0.25">
      <c r="B35" s="23"/>
      <c r="C35" s="24" t="s">
        <v>35</v>
      </c>
      <c r="D35" s="25"/>
      <c r="E35" s="26">
        <v>45539</v>
      </c>
      <c r="F35" s="16"/>
      <c r="G35" s="31"/>
      <c r="H35" s="14"/>
    </row>
    <row r="36" spans="1:8" x14ac:dyDescent="0.25">
      <c r="B36" s="27"/>
      <c r="C36" s="27" t="s">
        <v>63</v>
      </c>
      <c r="D36" s="19"/>
      <c r="E36" s="28" t="s">
        <v>6</v>
      </c>
      <c r="F36" s="16"/>
      <c r="G36" s="31"/>
      <c r="H36" s="14"/>
    </row>
    <row r="37" spans="1:8" x14ac:dyDescent="0.25">
      <c r="B37" s="27"/>
      <c r="C37" s="27"/>
      <c r="D37" s="19"/>
      <c r="E37" s="28"/>
      <c r="F37" s="16"/>
      <c r="G37" s="31"/>
      <c r="H37" s="14"/>
    </row>
    <row r="38" spans="1:8" x14ac:dyDescent="0.25">
      <c r="B38" s="15"/>
      <c r="C38" s="15"/>
      <c r="D38" s="15"/>
      <c r="E38" s="15"/>
      <c r="F38" s="16"/>
      <c r="G38" s="31"/>
      <c r="H38" s="14"/>
    </row>
    <row r="39" spans="1:8" ht="23.25" x14ac:dyDescent="0.25">
      <c r="B39" s="66" t="s">
        <v>24</v>
      </c>
      <c r="C39" s="66"/>
      <c r="D39" s="66"/>
      <c r="E39" s="66"/>
      <c r="F39" s="56"/>
      <c r="G39" s="7"/>
      <c r="H39" s="7"/>
    </row>
    <row r="40" spans="1:8" ht="24" x14ac:dyDescent="0.25">
      <c r="B40" s="10" t="s">
        <v>5</v>
      </c>
      <c r="C40" s="10" t="s">
        <v>25</v>
      </c>
      <c r="D40" s="11" t="s">
        <v>26</v>
      </c>
      <c r="E40" s="11" t="s">
        <v>27</v>
      </c>
      <c r="F40" s="10" t="s">
        <v>28</v>
      </c>
      <c r="G40" s="10" t="s">
        <v>22</v>
      </c>
      <c r="H40" s="10" t="s">
        <v>29</v>
      </c>
    </row>
    <row r="41" spans="1:8" x14ac:dyDescent="0.25">
      <c r="B41" s="17" t="s">
        <v>36</v>
      </c>
      <c r="C41" s="17" t="s">
        <v>30</v>
      </c>
      <c r="D41" s="54" t="s">
        <v>64</v>
      </c>
      <c r="E41" s="18">
        <v>45441</v>
      </c>
      <c r="F41" s="12">
        <v>10000</v>
      </c>
      <c r="G41" s="12">
        <f t="shared" ref="G41:G42" si="5">F41*0.1</f>
        <v>1000</v>
      </c>
      <c r="H41" s="12">
        <f t="shared" ref="H41:H42" si="6">F41+G41</f>
        <v>11000</v>
      </c>
    </row>
    <row r="42" spans="1:8" x14ac:dyDescent="0.25">
      <c r="B42" s="17" t="s">
        <v>37</v>
      </c>
      <c r="C42" s="17" t="s">
        <v>31</v>
      </c>
      <c r="D42" s="54" t="s">
        <v>65</v>
      </c>
      <c r="E42" s="18">
        <v>45473</v>
      </c>
      <c r="F42" s="12">
        <v>1000</v>
      </c>
      <c r="G42" s="12">
        <f t="shared" si="5"/>
        <v>100</v>
      </c>
      <c r="H42" s="12">
        <f t="shared" si="6"/>
        <v>1100</v>
      </c>
    </row>
    <row r="43" spans="1:8" x14ac:dyDescent="0.25">
      <c r="B43" s="17" t="s">
        <v>46</v>
      </c>
      <c r="C43" s="17" t="s">
        <v>40</v>
      </c>
      <c r="D43" s="54" t="s">
        <v>66</v>
      </c>
      <c r="E43" s="18">
        <v>45504</v>
      </c>
      <c r="F43" s="12">
        <v>1000</v>
      </c>
      <c r="G43" s="12">
        <f t="shared" ref="G43:G48" si="7">F43*0.1</f>
        <v>100</v>
      </c>
      <c r="H43" s="12">
        <f t="shared" ref="H43:H48" si="8">F43+G43</f>
        <v>1100</v>
      </c>
    </row>
    <row r="44" spans="1:8" x14ac:dyDescent="0.25">
      <c r="B44" s="17" t="s">
        <v>47</v>
      </c>
      <c r="C44" s="17" t="s">
        <v>41</v>
      </c>
      <c r="D44" s="18"/>
      <c r="E44" s="18"/>
      <c r="F44" s="12">
        <v>0</v>
      </c>
      <c r="G44" s="12">
        <f t="shared" si="7"/>
        <v>0</v>
      </c>
      <c r="H44" s="12">
        <f t="shared" si="8"/>
        <v>0</v>
      </c>
    </row>
    <row r="45" spans="1:8" x14ac:dyDescent="0.25">
      <c r="B45" s="17" t="s">
        <v>48</v>
      </c>
      <c r="C45" s="17" t="s">
        <v>42</v>
      </c>
      <c r="D45" s="18"/>
      <c r="E45" s="18"/>
      <c r="F45" s="12">
        <v>0</v>
      </c>
      <c r="G45" s="12">
        <f t="shared" si="7"/>
        <v>0</v>
      </c>
      <c r="H45" s="12">
        <f t="shared" si="8"/>
        <v>0</v>
      </c>
    </row>
    <row r="46" spans="1:8" x14ac:dyDescent="0.25">
      <c r="B46" s="17" t="s">
        <v>49</v>
      </c>
      <c r="C46" s="17" t="s">
        <v>43</v>
      </c>
      <c r="D46" s="18"/>
      <c r="E46" s="18"/>
      <c r="F46" s="12">
        <v>0</v>
      </c>
      <c r="G46" s="12">
        <f t="shared" si="7"/>
        <v>0</v>
      </c>
      <c r="H46" s="12">
        <f t="shared" si="8"/>
        <v>0</v>
      </c>
    </row>
    <row r="47" spans="1:8" x14ac:dyDescent="0.25">
      <c r="B47" s="17" t="s">
        <v>50</v>
      </c>
      <c r="C47" s="17" t="s">
        <v>44</v>
      </c>
      <c r="D47" s="18"/>
      <c r="E47" s="18"/>
      <c r="F47" s="12">
        <v>0</v>
      </c>
      <c r="G47" s="12">
        <f t="shared" si="7"/>
        <v>0</v>
      </c>
      <c r="H47" s="12">
        <f t="shared" si="8"/>
        <v>0</v>
      </c>
    </row>
    <row r="48" spans="1:8" x14ac:dyDescent="0.25">
      <c r="B48" s="17" t="s">
        <v>51</v>
      </c>
      <c r="C48" s="17" t="s">
        <v>45</v>
      </c>
      <c r="D48" s="18"/>
      <c r="E48" s="18"/>
      <c r="F48" s="12">
        <v>0</v>
      </c>
      <c r="G48" s="12">
        <f t="shared" si="7"/>
        <v>0</v>
      </c>
      <c r="H48" s="12">
        <f t="shared" si="8"/>
        <v>0</v>
      </c>
    </row>
    <row r="49" spans="2:8" x14ac:dyDescent="0.25">
      <c r="B49" s="16" t="s">
        <v>32</v>
      </c>
      <c r="C49" s="13"/>
      <c r="D49" s="19"/>
      <c r="E49" s="20"/>
      <c r="F49" s="14">
        <f>SUM(F41:F48)</f>
        <v>12000</v>
      </c>
      <c r="G49" s="14">
        <f>SUM(G41:G48)</f>
        <v>1200</v>
      </c>
      <c r="H49" s="14">
        <f>SUM(H41:H48)</f>
        <v>13200</v>
      </c>
    </row>
    <row r="50" spans="2:8" x14ac:dyDescent="0.25">
      <c r="B50" s="21"/>
      <c r="C50" s="21"/>
      <c r="D50" s="22"/>
      <c r="E50" s="7"/>
      <c r="F50" s="9"/>
      <c r="G50" s="7"/>
      <c r="H50" s="7"/>
    </row>
    <row r="51" spans="2:8" x14ac:dyDescent="0.25">
      <c r="H51" s="7"/>
    </row>
    <row r="52" spans="2:8" x14ac:dyDescent="0.25">
      <c r="H52" s="7"/>
    </row>
    <row r="53" spans="2:8" x14ac:dyDescent="0.25">
      <c r="H53" s="7"/>
    </row>
    <row r="54" spans="2:8" x14ac:dyDescent="0.25">
      <c r="B54" s="27"/>
      <c r="C54" s="27"/>
      <c r="D54" s="19"/>
      <c r="E54" s="29"/>
      <c r="F54" s="7"/>
      <c r="G54" s="7"/>
      <c r="H54" s="7"/>
    </row>
  </sheetData>
  <mergeCells count="31">
    <mergeCell ref="B39:E39"/>
    <mergeCell ref="E26:F26"/>
    <mergeCell ref="D20:D21"/>
    <mergeCell ref="E20:F20"/>
    <mergeCell ref="B30:C30"/>
    <mergeCell ref="B31:C31"/>
    <mergeCell ref="B26:C27"/>
    <mergeCell ref="D26:D27"/>
    <mergeCell ref="B32:C32"/>
    <mergeCell ref="B19:C19"/>
    <mergeCell ref="G26:G27"/>
    <mergeCell ref="H26:H27"/>
    <mergeCell ref="B28:C28"/>
    <mergeCell ref="G20:G21"/>
    <mergeCell ref="H20:H21"/>
    <mergeCell ref="B20:C21"/>
    <mergeCell ref="B24:C24"/>
    <mergeCell ref="B25:C25"/>
    <mergeCell ref="B22:C22"/>
    <mergeCell ref="B23:C23"/>
    <mergeCell ref="B1:G1"/>
    <mergeCell ref="C3:E3"/>
    <mergeCell ref="C4:F4"/>
    <mergeCell ref="C6:E6"/>
    <mergeCell ref="B8:E8"/>
    <mergeCell ref="C5:F5"/>
    <mergeCell ref="G9:G10"/>
    <mergeCell ref="H9:H10"/>
    <mergeCell ref="B9:C10"/>
    <mergeCell ref="D9:D10"/>
    <mergeCell ref="E9:F9"/>
  </mergeCells>
  <phoneticPr fontId="1" type="noConversion"/>
  <pageMargins left="0.25" right="0.25" top="0.75" bottom="0.75" header="0.3" footer="0.3"/>
  <pageSetup paperSize="9" scale="87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ac6e158-bcc2-48b7-8388-ac62a122097a" xsi:nil="true"/>
    <lcf76f155ced4ddcb4097134ff3c332f xmlns="b77002be-90b3-48a2-82b1-58e766ac9088">
      <Terms xmlns="http://schemas.microsoft.com/office/infopath/2007/PartnerControls"/>
    </lcf76f155ced4ddcb4097134ff3c332f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DA54CD1DBC6B4597E3DBD5BAD7DAEA" ma:contentTypeVersion="18" ma:contentTypeDescription="Create a new document." ma:contentTypeScope="" ma:versionID="cc3a38ed4d09ba592f2e38b69433533f">
  <xsd:schema xmlns:xsd="http://www.w3.org/2001/XMLSchema" xmlns:xs="http://www.w3.org/2001/XMLSchema" xmlns:p="http://schemas.microsoft.com/office/2006/metadata/properties" xmlns:ns2="b77002be-90b3-48a2-82b1-58e766ac9088" xmlns:ns3="5ac6e158-bcc2-48b7-8388-ac62a122097a" targetNamespace="http://schemas.microsoft.com/office/2006/metadata/properties" ma:root="true" ma:fieldsID="0ddde356492bef5b53bd2f25cdb86e8a" ns2:_="" ns3:_="">
    <xsd:import namespace="b77002be-90b3-48a2-82b1-58e766ac9088"/>
    <xsd:import namespace="5ac6e158-bcc2-48b7-8388-ac62a12209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7002be-90b3-48a2-82b1-58e766ac90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193bc2f-2a91-428e-8ab8-87d5bbdfe1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c6e158-bcc2-48b7-8388-ac62a122097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8e18307-f75c-4c86-8dfd-826ea040e9f9}" ma:internalName="TaxCatchAll" ma:showField="CatchAllData" ma:web="5ac6e158-bcc2-48b7-8388-ac62a12209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C83574-4570-4EF3-A773-35B2A26F59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04E558-8ADF-4DA7-B13F-B8ED4B043D98}">
  <ds:schemaRefs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5ac6e158-bcc2-48b7-8388-ac62a122097a"/>
    <ds:schemaRef ds:uri="b77002be-90b3-48a2-82b1-58e766ac9088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A58EBC4-4491-42AE-9EF7-24B41B9358A0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A5DF0767-7916-4330-A301-9AB0ACF94F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7002be-90b3-48a2-82b1-58e766ac9088"/>
    <ds:schemaRef ds:uri="5ac6e158-bcc2-48b7-8388-ac62a12209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Payment Schedule</vt:lpstr>
      <vt:lpstr>'Payment Schedule'!Print_Area</vt:lpstr>
      <vt:lpstr>'Payment Schedule'!Print_Titles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EngineRoom4 EngineRoom4</dc:creator>
  <cp:keywords/>
  <dc:description/>
  <cp:lastModifiedBy>Orlando Clifton</cp:lastModifiedBy>
  <cp:revision/>
  <cp:lastPrinted>2024-09-04T04:09:56Z</cp:lastPrinted>
  <dcterms:created xsi:type="dcterms:W3CDTF">2015-08-12T23:59:52Z</dcterms:created>
  <dcterms:modified xsi:type="dcterms:W3CDTF">2026-02-10T07:33:35Z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0x010100F1DA54CD1DBC6B4597E3DBD5BAD7DAEA</vt:lpwstr>
  </property>
  <property fmtid="{D5CDD505-2E9C-101B-9397-08002B2CF9AE}" pid="3" name="MediaServiceImageTags">
    <vt:lpwstr/>
  </property>
</Properties>
</file>